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RVERBERLIM\Clientes\00 - COMPARTILHADOS BERLIM\"/>
    </mc:Choice>
  </mc:AlternateContent>
  <bookViews>
    <workbookView xWindow="0" yWindow="0" windowWidth="20490" windowHeight="7650"/>
  </bookViews>
  <sheets>
    <sheet name="Orçamento" sheetId="3" r:id="rId1"/>
    <sheet name="Lista Suspensa" sheetId="2" r:id="rId2"/>
  </sheets>
  <definedNames>
    <definedName name="_xlnm._FilterDatabase" localSheetId="0" hidden="1">Orçamento!$B$1:$M$1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 l="1"/>
  <c r="E3" i="3" s="1"/>
  <c r="K2" i="3" l="1"/>
  <c r="I3" i="3" l="1"/>
  <c r="I5" i="3"/>
  <c r="I6" i="3"/>
  <c r="I7" i="3"/>
  <c r="I8" i="3"/>
  <c r="I9" i="3"/>
  <c r="I10" i="3"/>
  <c r="C7" i="3"/>
  <c r="C5" i="3"/>
  <c r="C6" i="3"/>
  <c r="C10" i="3" l="1"/>
  <c r="E10" i="3" s="1"/>
  <c r="G10" i="3" s="1"/>
  <c r="C9" i="3"/>
  <c r="E9" i="3" s="1"/>
  <c r="G9" i="3" s="1"/>
  <c r="C8" i="3"/>
  <c r="E8" i="3" s="1"/>
  <c r="G8" i="3" s="1"/>
  <c r="E7" i="3"/>
  <c r="G7" i="3" s="1"/>
  <c r="E6" i="3"/>
  <c r="G6" i="3" s="1"/>
  <c r="E5" i="3"/>
  <c r="G5" i="3" s="1"/>
  <c r="C4" i="3"/>
  <c r="E4" i="3" s="1"/>
  <c r="G3" i="3"/>
  <c r="G4" i="3" l="1"/>
  <c r="I4" i="3"/>
  <c r="L10" i="3"/>
  <c r="E2" i="3"/>
  <c r="I2" i="3" s="1"/>
  <c r="K10" i="3"/>
  <c r="K9" i="3"/>
  <c r="L9" i="3" s="1"/>
  <c r="K8" i="3"/>
  <c r="L8" i="3" s="1"/>
  <c r="K7" i="3"/>
  <c r="L7" i="3" s="1"/>
  <c r="K6" i="3"/>
  <c r="L6" i="3" s="1"/>
  <c r="K5" i="3"/>
  <c r="L5" i="3" s="1"/>
  <c r="K4" i="3"/>
  <c r="K3" i="3"/>
  <c r="L3" i="3" s="1"/>
  <c r="M3" i="3" s="1"/>
  <c r="L4" i="3" l="1"/>
  <c r="M4" i="3" s="1"/>
  <c r="G2" i="3"/>
  <c r="L2" i="3" l="1"/>
  <c r="M2" i="3" s="1"/>
</calcChain>
</file>

<file path=xl/sharedStrings.xml><?xml version="1.0" encoding="utf-8"?>
<sst xmlns="http://schemas.openxmlformats.org/spreadsheetml/2006/main" count="31" uniqueCount="24">
  <si>
    <t>Tamanho (cm)</t>
  </si>
  <si>
    <t>Qtd. Folhas A4</t>
  </si>
  <si>
    <t>Tipo de Papel</t>
  </si>
  <si>
    <t>Qtd. variações de arte</t>
  </si>
  <si>
    <t>Valor Final (R$)</t>
  </si>
  <si>
    <t>Texto para WhatsApp</t>
  </si>
  <si>
    <t>Couche 170g</t>
  </si>
  <si>
    <t>Couche 250g</t>
  </si>
  <si>
    <t>Offset 180g</t>
  </si>
  <si>
    <t>Offset 240g</t>
  </si>
  <si>
    <t>Papel Perolizado 180g</t>
  </si>
  <si>
    <t>Papel Linho 180g</t>
  </si>
  <si>
    <t>Só Furo?</t>
  </si>
  <si>
    <t>Qtd. por A4</t>
  </si>
  <si>
    <t>R$ da impressão</t>
  </si>
  <si>
    <t>Sem furo</t>
  </si>
  <si>
    <t>Furo e Ilhós</t>
  </si>
  <si>
    <t>Qtde. de Manuais</t>
  </si>
  <si>
    <t>Com furo</t>
  </si>
  <si>
    <t>R$ do furo</t>
  </si>
  <si>
    <t>R$ das variações de arte</t>
  </si>
  <si>
    <t>10x15</t>
  </si>
  <si>
    <t>9,5x9,5</t>
  </si>
  <si>
    <r>
      <t xml:space="preserve">Qtd. Impressões </t>
    </r>
    <r>
      <rPr>
        <b/>
        <sz val="8"/>
        <color theme="6" tint="-0.499984740745262"/>
        <rFont val="Calibri"/>
        <family val="2"/>
        <scheme val="minor"/>
      </rPr>
      <t>(quadradinhos)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</si>
</sst>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6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6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E993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44" fontId="0" fillId="0" borderId="0" xfId="1" applyFont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44" fontId="0" fillId="0" borderId="0" xfId="1" applyFont="1" applyBorder="1" applyAlignment="1">
      <alignment horizontal="center"/>
    </xf>
    <xf numFmtId="0" fontId="0" fillId="0" borderId="0" xfId="0" applyBorder="1"/>
    <xf numFmtId="44" fontId="0" fillId="0" borderId="0" xfId="0" applyNumberFormat="1" applyBorder="1" applyAlignment="1">
      <alignment horizontal="center"/>
    </xf>
    <xf numFmtId="0" fontId="0" fillId="0" borderId="0" xfId="0" applyBorder="1" applyAlignment="1" applyProtection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3" fillId="0" borderId="0" xfId="0" applyFont="1"/>
    <xf numFmtId="0" fontId="6" fillId="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/>
    <xf numFmtId="0" fontId="8" fillId="3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 vertical="center"/>
    </xf>
    <xf numFmtId="0" fontId="9" fillId="2" borderId="1" xfId="0" applyFont="1" applyFill="1" applyBorder="1" applyAlignment="1" applyProtection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colors>
    <mruColors>
      <color rgb="FFE9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showGridLines="0" tabSelected="1" zoomScaleNormal="100" workbookViewId="0">
      <selection activeCell="A2" sqref="A2"/>
    </sheetView>
  </sheetViews>
  <sheetFormatPr defaultRowHeight="15" x14ac:dyDescent="0.25"/>
  <cols>
    <col min="1" max="1" width="14.85546875" bestFit="1" customWidth="1"/>
    <col min="2" max="2" width="16.5703125" bestFit="1" customWidth="1"/>
    <col min="3" max="3" width="14" customWidth="1"/>
    <col min="4" max="4" width="29" bestFit="1" customWidth="1"/>
    <col min="5" max="5" width="16.140625" customWidth="1"/>
    <col min="6" max="6" width="18.28515625" style="2" bestFit="1" customWidth="1"/>
    <col min="7" max="7" width="16.85546875" customWidth="1"/>
    <col min="8" max="8" width="12.28515625" bestFit="1" customWidth="1"/>
    <col min="9" max="9" width="13.7109375" customWidth="1"/>
    <col min="10" max="10" width="22.85546875" customWidth="1"/>
    <col min="11" max="11" width="24.5703125" customWidth="1"/>
    <col min="12" max="12" width="18.42578125" bestFit="1" customWidth="1"/>
    <col min="13" max="13" width="31.42578125" bestFit="1" customWidth="1"/>
  </cols>
  <sheetData>
    <row r="1" spans="1:13" s="3" customFormat="1" ht="24.95" customHeight="1" x14ac:dyDescent="0.25">
      <c r="A1" s="13" t="s">
        <v>17</v>
      </c>
      <c r="B1" s="13" t="s">
        <v>0</v>
      </c>
      <c r="C1" s="17" t="s">
        <v>13</v>
      </c>
      <c r="D1" s="13" t="s">
        <v>23</v>
      </c>
      <c r="E1" s="17" t="s">
        <v>1</v>
      </c>
      <c r="F1" s="13" t="s">
        <v>2</v>
      </c>
      <c r="G1" s="17" t="s">
        <v>14</v>
      </c>
      <c r="H1" s="13" t="s">
        <v>12</v>
      </c>
      <c r="I1" s="17" t="s">
        <v>19</v>
      </c>
      <c r="J1" s="13" t="s">
        <v>3</v>
      </c>
      <c r="K1" s="17" t="s">
        <v>20</v>
      </c>
      <c r="L1" s="18" t="s">
        <v>4</v>
      </c>
      <c r="M1" s="19" t="s">
        <v>5</v>
      </c>
    </row>
    <row r="2" spans="1:13" x14ac:dyDescent="0.25">
      <c r="A2" s="14">
        <v>20</v>
      </c>
      <c r="B2" s="14" t="s">
        <v>21</v>
      </c>
      <c r="C2" s="16">
        <f t="shared" ref="C2:C10" si="0">IFERROR(INT(20/LEFT(B2,FIND("x",B2)-1)) * INT(28.7/MID(B2,FIND("x",B2)+1,LEN(B2))), "")</f>
        <v>2</v>
      </c>
      <c r="D2" s="14">
        <v>102</v>
      </c>
      <c r="E2" s="16">
        <f t="shared" ref="E2:E10" si="1">IF(AND(D2&lt;&gt;"",C2&lt;&gt;""),ROUNDUP(D2/C2,0)+2,"")</f>
        <v>53</v>
      </c>
      <c r="F2" s="14" t="s">
        <v>7</v>
      </c>
      <c r="G2" s="16">
        <f>VLOOKUP(F2,'Lista Suspensa'!A:B,2,0) *E2</f>
        <v>225.25</v>
      </c>
      <c r="H2" s="14" t="s">
        <v>16</v>
      </c>
      <c r="I2" s="16">
        <f>IF(H2="Sem furo","Sem furo",IF(H2="Somente furo",E2*2.5,IF(H2="Furo e ilhós",E2*2.5 +A2*3,"")))</f>
        <v>192.5</v>
      </c>
      <c r="J2" s="14">
        <v>28</v>
      </c>
      <c r="K2" s="16">
        <f>IF(J2&lt;=30, J2*5, J2*3)</f>
        <v>140</v>
      </c>
      <c r="L2" s="16">
        <f>G2+I2+K2</f>
        <v>557.75</v>
      </c>
      <c r="M2" s="20" t="str">
        <f>TEXT(A2,"0") &amp; " manuais | " &amp; TEXT(D2,"0") &amp; " impressões | " &amp; B2 &amp; "cm | " &amp; F2 &amp; " | " &amp; H2 &amp; " | 4x0 (Colorido e somente frente) | Refile | Artes variáveis - R$" &amp; TEXT(L2,"0,00")</f>
        <v>20 manuais | 102 impressões | 10x15cm | Couche 250g | Furo e Ilhós | 4x0 (Colorido e somente frente) | Refile | Artes variáveis - R$557,75</v>
      </c>
    </row>
    <row r="3" spans="1:13" x14ac:dyDescent="0.25">
      <c r="A3" s="14">
        <v>20</v>
      </c>
      <c r="B3" s="14" t="s">
        <v>22</v>
      </c>
      <c r="C3" s="16">
        <f t="shared" si="0"/>
        <v>6</v>
      </c>
      <c r="D3" s="14">
        <v>90</v>
      </c>
      <c r="E3" s="16">
        <f t="shared" si="1"/>
        <v>17</v>
      </c>
      <c r="F3" s="14" t="s">
        <v>11</v>
      </c>
      <c r="G3" s="16">
        <f>VLOOKUP(F3,'Lista Suspensa'!A:B,2,0) *E3</f>
        <v>59.5</v>
      </c>
      <c r="H3" s="14" t="s">
        <v>16</v>
      </c>
      <c r="I3" s="16">
        <f t="shared" ref="I3:I10" si="2">IF(H3="Sem furo","Sem furo",IF(H3="Somente furo",E3*2.5,IF(H3="Furo e ilhós",E3*2.5 +A3*3,"")))</f>
        <v>102.5</v>
      </c>
      <c r="J3" s="14">
        <v>6</v>
      </c>
      <c r="K3" s="16">
        <f t="shared" ref="K3:K10" si="3">J3*5</f>
        <v>30</v>
      </c>
      <c r="L3" s="16">
        <f t="shared" ref="L3:L10" si="4">G3+I3+K3</f>
        <v>192</v>
      </c>
      <c r="M3" s="20" t="str">
        <f>TEXT(A3,"0") &amp; " manuais | " &amp; TEXT(D3,"0") &amp; " impressões | " &amp; B3 &amp; "cm | " &amp; F3 &amp; " | " &amp; H3 &amp; " | 4x0 (Colorido e somente frente) | Refile | Artes variáveis - R$" &amp; TEXT(L3,"0,00")</f>
        <v>20 manuais | 90 impressões | 9,5x9,5cm | Papel Linho 180g | Furo e Ilhós | 4x0 (Colorido e somente frente) | Refile | Artes variáveis - R$192,00</v>
      </c>
    </row>
    <row r="4" spans="1:13" x14ac:dyDescent="0.25">
      <c r="A4" s="14">
        <v>20</v>
      </c>
      <c r="B4" s="14" t="s">
        <v>22</v>
      </c>
      <c r="C4" s="16">
        <f t="shared" si="0"/>
        <v>6</v>
      </c>
      <c r="D4" s="14">
        <v>90</v>
      </c>
      <c r="E4" s="16">
        <f t="shared" si="1"/>
        <v>17</v>
      </c>
      <c r="F4" s="14" t="s">
        <v>10</v>
      </c>
      <c r="G4" s="16">
        <f>VLOOKUP(F4,'Lista Suspensa'!A:B,2,0) *E4</f>
        <v>110.5</v>
      </c>
      <c r="H4" s="14" t="s">
        <v>16</v>
      </c>
      <c r="I4" s="16">
        <f t="shared" si="2"/>
        <v>102.5</v>
      </c>
      <c r="J4" s="14">
        <v>6</v>
      </c>
      <c r="K4" s="16">
        <f t="shared" si="3"/>
        <v>30</v>
      </c>
      <c r="L4" s="16">
        <f t="shared" si="4"/>
        <v>243</v>
      </c>
      <c r="M4" s="20" t="str">
        <f>TEXT(A4,"0") &amp; " manuais | " &amp; TEXT(D4,"0") &amp; " impressões | " &amp; B4 &amp; "cm | " &amp; F4 &amp; " | " &amp; H4 &amp; " | 4x0 (Colorido e somente frente) | Refile | Artes variáveis - R$" &amp; TEXT(L4,"0,00")</f>
        <v>20 manuais | 90 impressões | 9,5x9,5cm | Papel Perolizado 180g | Furo e Ilhós | 4x0 (Colorido e somente frente) | Refile | Artes variáveis - R$243,00</v>
      </c>
    </row>
    <row r="5" spans="1:13" x14ac:dyDescent="0.25">
      <c r="A5" s="14"/>
      <c r="B5" s="14"/>
      <c r="C5" s="16" t="str">
        <f t="shared" si="0"/>
        <v/>
      </c>
      <c r="D5" s="14"/>
      <c r="E5" s="16" t="str">
        <f t="shared" si="1"/>
        <v/>
      </c>
      <c r="F5" s="14"/>
      <c r="G5" s="16" t="e">
        <f>VLOOKUP(F5,'Lista Suspensa'!A:B,2,0) *E5</f>
        <v>#N/A</v>
      </c>
      <c r="H5" s="14"/>
      <c r="I5" s="16" t="str">
        <f t="shared" si="2"/>
        <v/>
      </c>
      <c r="J5" s="14"/>
      <c r="K5" s="16">
        <f t="shared" si="3"/>
        <v>0</v>
      </c>
      <c r="L5" s="16" t="e">
        <f t="shared" si="4"/>
        <v>#N/A</v>
      </c>
      <c r="M5" s="21"/>
    </row>
    <row r="6" spans="1:13" x14ac:dyDescent="0.25">
      <c r="A6" s="14"/>
      <c r="B6" s="14"/>
      <c r="C6" s="16" t="str">
        <f t="shared" si="0"/>
        <v/>
      </c>
      <c r="D6" s="14"/>
      <c r="E6" s="16" t="str">
        <f t="shared" si="1"/>
        <v/>
      </c>
      <c r="F6" s="14"/>
      <c r="G6" s="16" t="e">
        <f>VLOOKUP(F6,'Lista Suspensa'!A:B,2,0) *E6</f>
        <v>#N/A</v>
      </c>
      <c r="H6" s="14"/>
      <c r="I6" s="16" t="str">
        <f t="shared" si="2"/>
        <v/>
      </c>
      <c r="J6" s="14"/>
      <c r="K6" s="16">
        <f t="shared" si="3"/>
        <v>0</v>
      </c>
      <c r="L6" s="16" t="e">
        <f t="shared" si="4"/>
        <v>#N/A</v>
      </c>
      <c r="M6" s="21"/>
    </row>
    <row r="7" spans="1:13" x14ac:dyDescent="0.25">
      <c r="A7" s="14"/>
      <c r="B7" s="14"/>
      <c r="C7" s="16" t="str">
        <f t="shared" si="0"/>
        <v/>
      </c>
      <c r="D7" s="14"/>
      <c r="E7" s="16" t="str">
        <f t="shared" si="1"/>
        <v/>
      </c>
      <c r="F7" s="14"/>
      <c r="G7" s="16" t="e">
        <f>VLOOKUP(F7,'Lista Suspensa'!A:B,2,0) *E7</f>
        <v>#N/A</v>
      </c>
      <c r="H7" s="14"/>
      <c r="I7" s="16" t="str">
        <f t="shared" si="2"/>
        <v/>
      </c>
      <c r="J7" s="14"/>
      <c r="K7" s="16">
        <f t="shared" si="3"/>
        <v>0</v>
      </c>
      <c r="L7" s="16" t="e">
        <f t="shared" si="4"/>
        <v>#N/A</v>
      </c>
      <c r="M7" s="21"/>
    </row>
    <row r="8" spans="1:13" x14ac:dyDescent="0.25">
      <c r="A8" s="15"/>
      <c r="B8" s="15"/>
      <c r="C8" s="16" t="str">
        <f t="shared" si="0"/>
        <v/>
      </c>
      <c r="D8" s="15"/>
      <c r="E8" s="16" t="str">
        <f t="shared" si="1"/>
        <v/>
      </c>
      <c r="F8" s="15"/>
      <c r="G8" s="16" t="e">
        <f>VLOOKUP(F8,'Lista Suspensa'!A:B,2,0) *E8</f>
        <v>#N/A</v>
      </c>
      <c r="H8" s="15"/>
      <c r="I8" s="16" t="str">
        <f t="shared" si="2"/>
        <v/>
      </c>
      <c r="J8" s="15"/>
      <c r="K8" s="16">
        <f t="shared" si="3"/>
        <v>0</v>
      </c>
      <c r="L8" s="16" t="e">
        <f t="shared" si="4"/>
        <v>#N/A</v>
      </c>
      <c r="M8" s="20"/>
    </row>
    <row r="9" spans="1:13" x14ac:dyDescent="0.25">
      <c r="A9" s="15"/>
      <c r="B9" s="15"/>
      <c r="C9" s="16" t="str">
        <f t="shared" si="0"/>
        <v/>
      </c>
      <c r="D9" s="15"/>
      <c r="E9" s="16" t="str">
        <f t="shared" si="1"/>
        <v/>
      </c>
      <c r="F9" s="15"/>
      <c r="G9" s="16" t="e">
        <f>VLOOKUP(F9,'Lista Suspensa'!A:B,2,0) *E9</f>
        <v>#N/A</v>
      </c>
      <c r="H9" s="15"/>
      <c r="I9" s="16" t="str">
        <f t="shared" si="2"/>
        <v/>
      </c>
      <c r="J9" s="15"/>
      <c r="K9" s="16">
        <f t="shared" si="3"/>
        <v>0</v>
      </c>
      <c r="L9" s="16" t="e">
        <f t="shared" si="4"/>
        <v>#N/A</v>
      </c>
      <c r="M9" s="20"/>
    </row>
    <row r="10" spans="1:13" x14ac:dyDescent="0.25">
      <c r="A10" s="15"/>
      <c r="B10" s="15"/>
      <c r="C10" s="16" t="str">
        <f t="shared" si="0"/>
        <v/>
      </c>
      <c r="D10" s="15"/>
      <c r="E10" s="16" t="str">
        <f t="shared" si="1"/>
        <v/>
      </c>
      <c r="F10" s="15"/>
      <c r="G10" s="16" t="e">
        <f>VLOOKUP(F10,'Lista Suspensa'!A:B,2,0) *E10</f>
        <v>#N/A</v>
      </c>
      <c r="H10" s="15"/>
      <c r="I10" s="16" t="str">
        <f t="shared" si="2"/>
        <v/>
      </c>
      <c r="J10" s="15"/>
      <c r="K10" s="16">
        <f t="shared" si="3"/>
        <v>0</v>
      </c>
      <c r="L10" s="16" t="e">
        <f t="shared" si="4"/>
        <v>#N/A</v>
      </c>
      <c r="M10" s="20"/>
    </row>
    <row r="11" spans="1:13" x14ac:dyDescent="0.25">
      <c r="B11" s="4"/>
      <c r="C11" s="9"/>
      <c r="D11" s="4"/>
      <c r="E11" s="4"/>
      <c r="F11" s="5"/>
      <c r="G11" s="6"/>
      <c r="H11" s="7"/>
      <c r="I11" s="7"/>
      <c r="J11" s="7"/>
      <c r="K11" s="4"/>
      <c r="L11" s="8"/>
      <c r="M11" s="7"/>
    </row>
    <row r="12" spans="1:13" x14ac:dyDescent="0.25">
      <c r="B12" s="10"/>
      <c r="C12" s="9"/>
      <c r="D12" s="4"/>
      <c r="E12" s="4"/>
      <c r="F12" s="5"/>
      <c r="G12" s="6"/>
      <c r="H12" s="7"/>
      <c r="I12" s="7"/>
      <c r="J12" s="7"/>
      <c r="K12" s="4"/>
      <c r="L12" s="8"/>
      <c r="M12" s="7"/>
    </row>
    <row r="13" spans="1:13" x14ac:dyDescent="0.25">
      <c r="B13" s="11"/>
      <c r="C13" s="9"/>
      <c r="D13" s="4"/>
      <c r="E13" s="4"/>
      <c r="F13" s="5"/>
      <c r="G13" s="6"/>
      <c r="H13" s="7"/>
      <c r="I13" s="7"/>
      <c r="J13" s="7"/>
      <c r="K13" s="4"/>
      <c r="L13" s="8"/>
      <c r="M13" s="7"/>
    </row>
    <row r="14" spans="1:13" x14ac:dyDescent="0.25">
      <c r="B14" s="4"/>
      <c r="C14" s="9"/>
      <c r="D14" s="4"/>
      <c r="E14" s="4"/>
      <c r="F14" s="5"/>
      <c r="G14" s="6"/>
      <c r="H14" s="7"/>
      <c r="I14" s="7"/>
      <c r="J14" s="7"/>
      <c r="K14" s="4"/>
      <c r="L14" s="8"/>
      <c r="M14" s="7"/>
    </row>
    <row r="15" spans="1:13" x14ac:dyDescent="0.25">
      <c r="B15" s="4"/>
      <c r="C15" s="9"/>
      <c r="D15" s="4"/>
      <c r="E15" s="4"/>
      <c r="F15" s="5"/>
      <c r="G15" s="6"/>
      <c r="H15" s="7"/>
      <c r="I15" s="7"/>
      <c r="J15" s="7"/>
      <c r="K15" s="4"/>
      <c r="L15" s="8"/>
      <c r="M15" s="7"/>
    </row>
    <row r="16" spans="1:13" x14ac:dyDescent="0.25">
      <c r="B16" s="4"/>
      <c r="C16" s="9"/>
      <c r="D16" s="4"/>
      <c r="E16" s="4"/>
      <c r="F16" s="5"/>
      <c r="G16" s="6"/>
      <c r="H16" s="7"/>
      <c r="I16" s="7"/>
      <c r="J16" s="7"/>
      <c r="K16" s="4"/>
      <c r="L16" s="8"/>
      <c r="M16" s="7"/>
    </row>
    <row r="17" spans="2:13" x14ac:dyDescent="0.25">
      <c r="B17" s="4"/>
      <c r="C17" s="9"/>
      <c r="D17" s="4"/>
      <c r="E17" s="4"/>
      <c r="F17" s="5"/>
      <c r="G17" s="6"/>
      <c r="H17" s="7"/>
      <c r="I17" s="7"/>
      <c r="J17" s="7"/>
      <c r="K17" s="4"/>
      <c r="L17" s="8"/>
      <c r="M17" s="7"/>
    </row>
    <row r="18" spans="2:13" x14ac:dyDescent="0.25">
      <c r="B18" s="4"/>
      <c r="C18" s="9"/>
      <c r="D18" s="4"/>
      <c r="E18" s="4"/>
      <c r="F18" s="5"/>
      <c r="G18" s="6"/>
      <c r="H18" s="7"/>
      <c r="I18" s="7"/>
      <c r="J18" s="7"/>
      <c r="K18" s="4"/>
      <c r="L18" s="8"/>
      <c r="M18" s="7"/>
    </row>
    <row r="19" spans="2:13" x14ac:dyDescent="0.25">
      <c r="B19" s="4"/>
      <c r="C19" s="9"/>
      <c r="D19" s="4"/>
      <c r="E19" s="4"/>
      <c r="F19" s="5"/>
      <c r="G19" s="6"/>
      <c r="H19" s="7"/>
      <c r="I19" s="7"/>
      <c r="J19" s="7"/>
      <c r="K19" s="4"/>
      <c r="L19" s="8"/>
      <c r="M19" s="7"/>
    </row>
    <row r="20" spans="2:13" x14ac:dyDescent="0.25">
      <c r="B20" s="4"/>
      <c r="C20" s="9"/>
      <c r="D20" s="4"/>
      <c r="E20" s="4"/>
      <c r="F20" s="5"/>
      <c r="G20" s="6"/>
      <c r="H20" s="7"/>
      <c r="I20" s="7"/>
      <c r="J20" s="7"/>
      <c r="K20" s="4"/>
      <c r="L20" s="8"/>
      <c r="M20" s="7"/>
    </row>
    <row r="21" spans="2:13" x14ac:dyDescent="0.25">
      <c r="B21" s="4"/>
      <c r="C21" s="9"/>
      <c r="D21" s="4"/>
      <c r="E21" s="4"/>
      <c r="F21" s="5"/>
      <c r="G21" s="6"/>
      <c r="H21" s="7"/>
      <c r="I21" s="7"/>
      <c r="J21" s="7"/>
      <c r="K21" s="4"/>
      <c r="L21" s="8"/>
      <c r="M21" s="7"/>
    </row>
    <row r="22" spans="2:13" x14ac:dyDescent="0.25">
      <c r="B22" s="4"/>
      <c r="C22" s="9"/>
      <c r="D22" s="4"/>
      <c r="E22" s="4"/>
      <c r="F22" s="5"/>
      <c r="G22" s="6"/>
      <c r="H22" s="7"/>
      <c r="I22" s="7"/>
      <c r="J22" s="7"/>
      <c r="K22" s="4"/>
      <c r="L22" s="8"/>
      <c r="M22" s="7"/>
    </row>
    <row r="23" spans="2:13" x14ac:dyDescent="0.25">
      <c r="B23" s="4"/>
      <c r="C23" s="9"/>
      <c r="D23" s="4"/>
      <c r="E23" s="4"/>
      <c r="F23" s="5"/>
      <c r="G23" s="6"/>
      <c r="H23" s="7"/>
      <c r="I23" s="7"/>
      <c r="J23" s="7"/>
      <c r="K23" s="4"/>
      <c r="L23" s="8"/>
      <c r="M23" s="7"/>
    </row>
    <row r="24" spans="2:13" x14ac:dyDescent="0.25">
      <c r="B24" s="4"/>
      <c r="C24" s="9"/>
      <c r="D24" s="4"/>
      <c r="E24" s="4"/>
      <c r="F24" s="5"/>
      <c r="G24" s="6"/>
      <c r="H24" s="7"/>
      <c r="I24" s="7"/>
      <c r="J24" s="7"/>
      <c r="K24" s="4"/>
      <c r="L24" s="8"/>
      <c r="M24" s="7"/>
    </row>
    <row r="25" spans="2:13" x14ac:dyDescent="0.25">
      <c r="B25" s="4"/>
      <c r="C25" s="9"/>
      <c r="D25" s="4"/>
      <c r="E25" s="4"/>
      <c r="F25" s="5"/>
      <c r="G25" s="6"/>
      <c r="H25" s="7"/>
      <c r="I25" s="7"/>
      <c r="J25" s="7"/>
      <c r="K25" s="4"/>
      <c r="L25" s="8"/>
      <c r="M25" s="7"/>
    </row>
    <row r="26" spans="2:13" x14ac:dyDescent="0.25">
      <c r="B26" s="4"/>
      <c r="C26" s="9"/>
      <c r="D26" s="4"/>
      <c r="E26" s="4"/>
      <c r="F26" s="5"/>
      <c r="G26" s="6"/>
      <c r="H26" s="7"/>
      <c r="I26" s="7"/>
      <c r="J26" s="7"/>
      <c r="K26" s="4"/>
      <c r="L26" s="8"/>
      <c r="M26" s="7"/>
    </row>
    <row r="27" spans="2:13" x14ac:dyDescent="0.25">
      <c r="B27" s="4"/>
      <c r="C27" s="9"/>
      <c r="D27" s="4"/>
      <c r="E27" s="4"/>
      <c r="F27" s="5"/>
      <c r="G27" s="6"/>
      <c r="H27" s="7"/>
      <c r="I27" s="7"/>
      <c r="J27" s="7"/>
      <c r="K27" s="4"/>
      <c r="L27" s="8"/>
      <c r="M27" s="7"/>
    </row>
    <row r="28" spans="2:13" x14ac:dyDescent="0.25">
      <c r="B28" s="4"/>
      <c r="C28" s="9"/>
      <c r="D28" s="4"/>
      <c r="E28" s="4"/>
      <c r="F28" s="5"/>
      <c r="G28" s="6"/>
      <c r="H28" s="7"/>
      <c r="I28" s="7"/>
      <c r="J28" s="7"/>
      <c r="K28" s="4"/>
      <c r="L28" s="8"/>
      <c r="M28" s="7"/>
    </row>
    <row r="29" spans="2:13" x14ac:dyDescent="0.25">
      <c r="B29" s="4"/>
      <c r="C29" s="9"/>
      <c r="D29" s="4"/>
      <c r="E29" s="4"/>
      <c r="F29" s="5"/>
      <c r="G29" s="6"/>
      <c r="H29" s="7"/>
      <c r="I29" s="7"/>
      <c r="J29" s="7"/>
      <c r="K29" s="4"/>
      <c r="L29" s="8"/>
      <c r="M29" s="7"/>
    </row>
    <row r="30" spans="2:13" x14ac:dyDescent="0.25">
      <c r="B30" s="4"/>
      <c r="C30" s="4"/>
      <c r="D30" s="4"/>
      <c r="E30" s="4"/>
      <c r="F30" s="5"/>
      <c r="G30" s="6"/>
      <c r="H30" s="7"/>
      <c r="I30" s="7"/>
      <c r="J30" s="7"/>
      <c r="K30" s="4"/>
      <c r="L30" s="8"/>
      <c r="M30" s="7"/>
    </row>
    <row r="31" spans="2:13" x14ac:dyDescent="0.25">
      <c r="B31" s="4"/>
      <c r="C31" s="4"/>
      <c r="D31" s="4"/>
      <c r="E31" s="4"/>
      <c r="F31" s="5"/>
      <c r="G31" s="6"/>
      <c r="H31" s="7"/>
      <c r="I31" s="7"/>
      <c r="J31" s="7"/>
      <c r="K31" s="4"/>
      <c r="L31" s="8"/>
      <c r="M31" s="7"/>
    </row>
    <row r="32" spans="2:13" x14ac:dyDescent="0.25">
      <c r="B32" s="4"/>
      <c r="C32" s="4"/>
      <c r="D32" s="4"/>
      <c r="E32" s="4"/>
      <c r="F32" s="5"/>
      <c r="G32" s="6"/>
      <c r="H32" s="7"/>
      <c r="I32" s="7"/>
      <c r="J32" s="7"/>
      <c r="K32" s="4"/>
      <c r="L32" s="8"/>
      <c r="M32" s="7"/>
    </row>
    <row r="33" spans="2:13" x14ac:dyDescent="0.25">
      <c r="B33" s="4"/>
      <c r="C33" s="4"/>
      <c r="D33" s="4"/>
      <c r="E33" s="4"/>
      <c r="F33" s="5"/>
      <c r="G33" s="6"/>
      <c r="H33" s="7"/>
      <c r="I33" s="7"/>
      <c r="J33" s="7"/>
      <c r="K33" s="4"/>
      <c r="L33" s="8"/>
      <c r="M33" s="7"/>
    </row>
    <row r="34" spans="2:13" x14ac:dyDescent="0.25">
      <c r="B34" s="4"/>
      <c r="C34" s="4"/>
      <c r="D34" s="4"/>
      <c r="E34" s="4"/>
      <c r="F34" s="5"/>
      <c r="G34" s="6"/>
      <c r="H34" s="7"/>
      <c r="I34" s="7"/>
      <c r="J34" s="7"/>
      <c r="K34" s="4"/>
      <c r="L34" s="8"/>
      <c r="M34" s="7"/>
    </row>
    <row r="35" spans="2:13" x14ac:dyDescent="0.25">
      <c r="B35" s="4"/>
      <c r="C35" s="4"/>
      <c r="D35" s="4"/>
      <c r="E35" s="4"/>
      <c r="F35" s="5"/>
      <c r="G35" s="6"/>
      <c r="H35" s="7"/>
      <c r="I35" s="7"/>
      <c r="J35" s="7"/>
      <c r="K35" s="4"/>
      <c r="L35" s="8"/>
      <c r="M35" s="7"/>
    </row>
    <row r="36" spans="2:13" x14ac:dyDescent="0.25">
      <c r="B36" s="4"/>
      <c r="C36" s="4"/>
      <c r="D36" s="4"/>
      <c r="E36" s="4"/>
      <c r="F36" s="5"/>
      <c r="G36" s="6"/>
      <c r="H36" s="7"/>
      <c r="I36" s="7"/>
      <c r="J36" s="7"/>
      <c r="K36" s="4"/>
      <c r="L36" s="8"/>
      <c r="M36" s="7"/>
    </row>
    <row r="37" spans="2:13" x14ac:dyDescent="0.25">
      <c r="B37" s="4"/>
      <c r="C37" s="4"/>
      <c r="D37" s="4"/>
      <c r="E37" s="4"/>
      <c r="F37" s="5"/>
      <c r="G37" s="6"/>
      <c r="H37" s="7"/>
      <c r="I37" s="7"/>
      <c r="J37" s="7"/>
      <c r="K37" s="4"/>
      <c r="L37" s="8"/>
      <c r="M37" s="7"/>
    </row>
  </sheetData>
  <autoFilter ref="B1:M1">
    <sortState ref="B2:P10">
      <sortCondition ref="H1"/>
    </sortState>
  </autoFilter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'Lista Suspensa'!$A$1:$A$6</xm:f>
          </x14:formula1>
          <xm:sqref>F2:F1048576</xm:sqref>
        </x14:dataValidation>
        <x14:dataValidation type="list" allowBlank="1" showInputMessage="1" showErrorMessage="1">
          <x14:formula1>
            <xm:f>'Lista Suspensa'!$E$1:$E$2</xm:f>
          </x14:formula1>
          <xm:sqref>I11:I37 H3:H37</xm:sqref>
        </x14:dataValidation>
        <x14:dataValidation type="list" allowBlank="1" showInputMessage="1" showErrorMessage="1">
          <x14:formula1>
            <xm:f>'Lista Suspensa'!$E$1:$E$3</xm:f>
          </x14:formula1>
          <xm:sqref>H2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zoomScale="175" zoomScaleNormal="175" workbookViewId="0">
      <selection activeCell="E2" sqref="E2"/>
    </sheetView>
  </sheetViews>
  <sheetFormatPr defaultRowHeight="15" x14ac:dyDescent="0.25"/>
  <cols>
    <col min="1" max="1" width="19.5703125" bestFit="1" customWidth="1"/>
  </cols>
  <sheetData>
    <row r="1" spans="1:5" x14ac:dyDescent="0.25">
      <c r="A1" t="s">
        <v>6</v>
      </c>
      <c r="B1" s="1">
        <v>3.75</v>
      </c>
      <c r="E1" t="s">
        <v>18</v>
      </c>
    </row>
    <row r="2" spans="1:5" x14ac:dyDescent="0.25">
      <c r="A2" t="s">
        <v>7</v>
      </c>
      <c r="B2" s="1">
        <v>4.25</v>
      </c>
      <c r="E2" t="s">
        <v>16</v>
      </c>
    </row>
    <row r="3" spans="1:5" x14ac:dyDescent="0.25">
      <c r="A3" t="s">
        <v>8</v>
      </c>
      <c r="B3" s="1">
        <v>2.75</v>
      </c>
      <c r="E3" s="12" t="s">
        <v>15</v>
      </c>
    </row>
    <row r="4" spans="1:5" x14ac:dyDescent="0.25">
      <c r="A4" t="s">
        <v>9</v>
      </c>
      <c r="B4" s="1">
        <v>3</v>
      </c>
    </row>
    <row r="5" spans="1:5" x14ac:dyDescent="0.25">
      <c r="A5" t="s">
        <v>10</v>
      </c>
      <c r="B5" s="1">
        <v>6.5</v>
      </c>
    </row>
    <row r="6" spans="1:5" x14ac:dyDescent="0.25">
      <c r="A6" t="s">
        <v>11</v>
      </c>
      <c r="B6" s="1">
        <v>3.5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Orçamento</vt:lpstr>
      <vt:lpstr>Lista Suspensa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Giovana</cp:lastModifiedBy>
  <dcterms:created xsi:type="dcterms:W3CDTF">2025-06-06T00:53:12Z</dcterms:created>
  <dcterms:modified xsi:type="dcterms:W3CDTF">2026-05-15T18:56:48Z</dcterms:modified>
</cp:coreProperties>
</file>