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b1584db3e943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culadora" sheetId="1" r:id="R73980c44e1fb4b9a"/>
    <x:sheet xmlns:r="http://schemas.openxmlformats.org/officeDocument/2006/relationships" name="Tabela Hot Melt" sheetId="2" r:id="Rbc776f4acbbd49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&quot;R$&quot; #,##0.00"/>
    <x:numFmt numFmtId="203" formatCode="0.000x"/>
  </x:numFmts>
  <x:fonts count="11">
    <x:font>
      <x:sz val="11"/>
      <x:name val="Carlito"/>
    </x:font>
    <x:font>
      <x:sz val="10"/>
      <x:color rgb="FF172B3A"/>
      <x:name val="Arial"/>
    </x:font>
    <x:font>
      <x:b/>
      <x:sz val="15"/>
      <x:color rgb="FF082B4C"/>
      <x:name val="Arial"/>
    </x:font>
    <x:font>
      <x:i/>
      <x:sz val="9"/>
      <x:color rgb="FF5D6B76"/>
      <x:name val="Arial"/>
    </x:font>
    <x:font>
      <x:b/>
      <x:sz val="10"/>
      <x:color rgb="FFFFFFFF"/>
      <x:name val="Arial"/>
    </x:font>
    <x:font>
      <x:sz val="10"/>
      <x:color rgb="FF082B4C"/>
      <x:name val="Arial"/>
    </x:font>
    <x:font>
      <x:b/>
      <x:sz val="12"/>
      <x:color rgb="FFFFFFFF"/>
      <x:name val="Arial"/>
    </x:font>
    <x:font>
      <x:b/>
      <x:sz val="12"/>
      <x:color rgb="FF082B4C"/>
      <x:name val="Arial"/>
    </x:font>
    <x:font>
      <x:b/>
      <x:sz val="9"/>
      <x:color rgb="FF082B4C"/>
      <x:name val="Arial"/>
    </x:font>
    <x:font>
      <x:sz val="9"/>
      <x:color rgb="FF52616D"/>
      <x:name val="Arial"/>
    </x:font>
    <x:font>
      <x:b/>
      <x:sz val="10"/>
      <x:color rgb="FF082B4C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F6A000"/>
      </x:patternFill>
    </x:fill>
    <x:fill>
      <x:patternFill patternType="solid">
        <x:fgColor rgb="FFFFF4CC"/>
      </x:patternFill>
    </x:fill>
    <x:fill>
      <x:patternFill patternType="solid">
        <x:fgColor rgb="FFEAF1F7"/>
      </x:patternFill>
    </x:fill>
    <x:fill>
      <x:patternFill patternType="solid">
        <x:fgColor rgb="FF082B4C"/>
      </x:patternFill>
    </x:fill>
    <x:fill>
      <x:patternFill patternType="solid">
        <x:fgColor rgb="FFFFF1D6"/>
      </x:patternFill>
    </x:fill>
    <x:fill>
      <x:patternFill patternType="solid">
        <x:fgColor rgb="FFF3F5F7"/>
      </x:patternFill>
    </x:fill>
  </x:fills>
  <x:borders count="31">
    <x:border/>
    <x:border>
      <x:bottom style="medium">
        <x:color rgb="FFF6A000"/>
      </x:bottom>
    </x:border>
    <x:border>
      <x:left style="thin">
        <x:color rgb="FFF6A000"/>
      </x:left>
      <x:top style="thin">
        <x:color rgb="FFF6A000"/>
      </x:top>
      <x:bottom style="thin">
        <x:color rgb="FFF6A000"/>
      </x:bottom>
    </x:border>
    <x:border>
      <x:top style="thin">
        <x:color rgb="FFF6A000"/>
      </x:top>
      <x:bottom style="thin">
        <x:color rgb="FFF6A000"/>
      </x:bottom>
    </x:border>
    <x:border>
      <x:right style="thin">
        <x:color rgb="FFF6A000"/>
      </x:right>
      <x:top style="thin">
        <x:color rgb="FFF6A000"/>
      </x:top>
      <x:bottom style="thin">
        <x:color rgb="FFF6A000"/>
      </x:bottom>
    </x:border>
    <x:border>
      <x:left style="thin">
        <x:color rgb="FFE2C96A"/>
      </x:left>
      <x:right style="thin">
        <x:color rgb="FFE2C96A"/>
      </x:right>
      <x:top style="thin">
        <x:color rgb="FFE2C96A"/>
      </x:top>
      <x:bottom style="thin">
        <x:color rgb="FFE2C96A"/>
      </x:bottom>
    </x:border>
    <x:border>
      <x:left style="thin">
        <x:color rgb="FFAFC1D1"/>
      </x:left>
      <x:right style="thin">
        <x:color rgb="FFAFC1D1"/>
      </x:right>
      <x:top style="thin">
        <x:color rgb="FFAFC1D1"/>
      </x:top>
      <x:bottom style="thin">
        <x:color rgb="FFAFC1D1"/>
      </x:bottom>
    </x:border>
    <x:border>
      <x:left style="medium">
        <x:color rgb="FF082B4C"/>
      </x:left>
      <x:top style="medium">
        <x:color rgb="FF082B4C"/>
      </x:top>
      <x:bottom style="medium">
        <x:color rgb="FF082B4C"/>
      </x:bottom>
    </x:border>
    <x:border>
      <x:right style="medium">
        <x:color rgb="FF082B4C"/>
      </x:right>
      <x:top style="medium">
        <x:color rgb="FF082B4C"/>
      </x:top>
      <x:bottom style="medium">
        <x:color rgb="FF082B4C"/>
      </x:bottom>
    </x:border>
    <x:border>
      <x:left style="medium">
        <x:color rgb="FFF6A000"/>
      </x:left>
      <x:top style="medium">
        <x:color rgb="FFF6A000"/>
      </x:top>
      <x:bottom style="medium">
        <x:color rgb="FFF6A000"/>
      </x:bottom>
    </x:border>
    <x:border>
      <x:right style="medium">
        <x:color rgb="FFF6A000"/>
      </x:right>
      <x:top style="medium">
        <x:color rgb="FFF6A000"/>
      </x:top>
      <x:bottom style="medium">
        <x:color rgb="FFF6A000"/>
      </x:bottom>
    </x:border>
    <x:border>
      <x:right style="thin">
        <x:color rgb="FFFFFFFF"/>
      </x:right>
      <x:bottom style="thin">
        <x:color rgb="FF082B4C"/>
      </x:bottom>
    </x:border>
    <x:border>
      <x:left style="thin">
        <x:color rgb="FFFFFFFF"/>
      </x:left>
      <x:bottom style="thin">
        <x:color rgb="FF082B4C"/>
      </x:bottom>
    </x:border>
    <x:border>
      <x:left style="thin">
        <x:color rgb="FFD9E0E6"/>
      </x:left>
      <x:right style="thin">
        <x:color rgb="FFFFFFFF"/>
      </x:right>
      <x:top style="thin">
        <x:color rgb="FFD9E0E6"/>
      </x:top>
      <x:bottom style="thin">
        <x:color rgb="FF082B4C"/>
      </x:bottom>
    </x:border>
    <x:border>
      <x:left style="thin">
        <x:color rgb="FFFFFFFF"/>
      </x:left>
      <x:right style="thin">
        <x:color rgb="FFD9E0E6"/>
      </x:right>
      <x:top style="thin">
        <x:color rgb="FFD9E0E6"/>
      </x:top>
      <x:bottom style="thin">
        <x:color rgb="FF082B4C"/>
      </x:bottom>
    </x:border>
    <x:border>
      <x:left style="thin">
        <x:color rgb="FFD9E0E6"/>
      </x:left>
    </x:border>
    <x:border>
      <x:right style="thin">
        <x:color rgb="FFD9E0E6"/>
      </x:right>
    </x:border>
    <x:border>
      <x:left style="thin">
        <x:color rgb="FFD9E0E6"/>
      </x:left>
      <x:bottom style="thin">
        <x:color rgb="FFD9E0E6"/>
      </x:bottom>
    </x:border>
    <x:border>
      <x:right style="thin">
        <x:color rgb="FFD9E0E6"/>
      </x:right>
      <x:bottom style="thin">
        <x:color rgb="FFD9E0E6"/>
      </x:bottom>
    </x:border>
    <x:border>
      <x:left style="thin">
        <x:color rgb="FFE2C96A"/>
      </x:left>
      <x:right style="thin">
        <x:color rgb="FFE2C96A"/>
      </x:right>
      <x:top style="thin">
        <x:color rgb="FFE2C96A"/>
      </x:top>
    </x:border>
    <x:border>
      <x:left style="thin">
        <x:color rgb="FFE2C96A"/>
      </x:left>
      <x:right style="thin">
        <x:color rgb="FFE2C96A"/>
      </x:right>
    </x:border>
    <x:border>
      <x:left style="thin">
        <x:color rgb="FFE2C96A"/>
      </x:left>
      <x:right style="thin">
        <x:color rgb="FFE2C96A"/>
      </x:right>
      <x:bottom style="thin">
        <x:color rgb="FFE2C96A"/>
      </x:bottom>
    </x:border>
    <x:border>
      <x:left style="thin">
        <x:color rgb="FFFFFFFF"/>
      </x:left>
      <x:right style="thin">
        <x:color rgb="FFFFFFFF"/>
      </x:right>
      <x:bottom style="thin">
        <x:color rgb="FF082B4C"/>
      </x:bottom>
    </x:border>
    <x:border>
      <x:left style="thin">
        <x:color rgb="FFFFFFFF"/>
      </x:left>
      <x:right style="thin">
        <x:color rgb="FFFFFFFF"/>
      </x:right>
      <x:top style="thin">
        <x:color rgb="FFD9E0E6"/>
      </x:top>
      <x:bottom style="thin">
        <x:color rgb="FF082B4C"/>
      </x:bottom>
    </x:border>
    <x:border>
      <x:bottom style="thin">
        <x:color rgb="FFD9E0E6"/>
      </x:bottom>
    </x:border>
    <x:border>
      <x:left style="thin">
        <x:color rgb="FFE2C96A"/>
      </x:left>
      <x:top style="thin">
        <x:color rgb="FFE2C96A"/>
      </x:top>
    </x:border>
    <x:border>
      <x:right style="thin">
        <x:color rgb="FFE2C96A"/>
      </x:right>
      <x:top style="thin">
        <x:color rgb="FFE2C96A"/>
      </x:top>
    </x:border>
    <x:border>
      <x:left style="thin">
        <x:color rgb="FFE2C96A"/>
      </x:left>
    </x:border>
    <x:border>
      <x:right style="thin">
        <x:color rgb="FFE2C96A"/>
      </x:right>
    </x:border>
    <x:border>
      <x:left style="thin">
        <x:color rgb="FFE2C96A"/>
      </x:left>
      <x:bottom style="thin">
        <x:color rgb="FFE2C96A"/>
      </x:bottom>
    </x:border>
    <x:border>
      <x:right style="thin">
        <x:color rgb="FFE2C96A"/>
      </x:right>
      <x:bottom style="thin">
        <x:color rgb="FFE2C96A"/>
      </x:bottom>
    </x:border>
  </x:borders>
  <x:cellStyleXfs count="1">
    <x:xf numFmtId="0" fontId="0" fillId="0" borderId="0"/>
  </x:cellStyleXfs>
  <x:cellXfs count="10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1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1" fillId="3" borderId="5" xfId="0" applyNumberFormat="1" applyFont="1" applyFill="1" applyBorder="1"/>
    <x:xf numFmtId="0" fontId="1" fillId="3" borderId="5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6" xfId="0" applyNumberFormat="1" applyFont="1" applyFill="1" applyBorder="1"/>
    <x:xf numFmtId="0" fontId="5" fillId="4" borderId="6" xfId="0" applyNumberFormat="1" applyFont="1" applyFill="1" applyBorder="1" applyAlignment="1">
      <x:alignment vertical="center"/>
    </x:xf>
    <x:xf numFmtId="200" fontId="5" fillId="4" borderId="6" xfId="0" applyNumberFormat="1" applyFont="1" applyFill="1" applyBorder="1" applyAlignment="1">
      <x:alignment vertical="center"/>
    </x:xf>
    <x:xf numFmtId="200" fontId="1" fillId="3" borderId="5" xfId="0" applyNumberFormat="1" applyFont="1" applyFill="1" applyBorder="1" applyAlignment="1">
      <x:alignment vertical="center"/>
    </x:xf>
    <x:xf numFmtId="201" fontId="1" fillId="3" borderId="5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/>
    <x:xf numFmtId="202" fontId="5" fillId="4" borderId="6" xfId="0" applyNumberFormat="1" applyFont="1" applyFill="1" applyBorder="1" applyAlignment="1">
      <x:alignment vertical="center"/>
    </x:xf>
    <x:xf numFmtId="203" fontId="5" fillId="4" borderId="6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7" xfId="0" applyNumberFormat="1" applyFont="1" applyFill="1" applyBorder="1"/>
    <x:xf numFmtId="0" fontId="6" fillId="5" borderId="8" xfId="0" applyNumberFormat="1" applyFont="1" applyFill="1" applyBorder="1"/>
    <x:xf numFmtId="202" fontId="6" fillId="5" borderId="8" xfId="0" applyNumberFormat="1" applyFont="1" applyFill="1" applyBorder="1"/>
    <x:xf numFmtId="0" fontId="1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9" xfId="0" applyNumberFormat="1" applyFont="1" applyFill="1" applyBorder="1"/>
    <x:xf numFmtId="0" fontId="7" fillId="6" borderId="10" xfId="0" applyNumberFormat="1" applyFont="1" applyFill="1" applyBorder="1"/>
    <x:xf numFmtId="202" fontId="7" fillId="6" borderId="10" xfId="0" applyNumberFormat="1" applyFont="1" applyFill="1" applyBorder="1"/>
    <x:xf numFmtId="0" fontId="1" fillId="7" borderId="0" xfId="0" applyNumberFormat="1" applyFont="1" applyFill="1" applyBorder="1"/>
    <x:xf numFmtId="0" fontId="8" fillId="7" borderId="0" xfId="0" applyNumberFormat="1" applyFont="1" applyFill="1" applyBorder="1"/>
    <x:xf numFmtId="0" fontId="9" fillId="7" borderId="0" xfId="0" applyNumberFormat="1" applyFont="1" applyFill="1" applyBorder="1"/>
    <x:xf numFmtId="0" fontId="10" fillId="7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0" fontId="4" fillId="5" borderId="11" xfId="0" applyNumberFormat="1" applyFont="1" applyFill="1" applyBorder="1" applyAlignment="1">
      <x:alignment vertical="center"/>
    </x:xf>
    <x:xf numFmtId="0" fontId="4" fillId="5" borderId="12" xfId="0" applyNumberFormat="1" applyFont="1" applyFill="1" applyBorder="1" applyAlignment="1">
      <x:alignment vertical="center"/>
    </x:xf>
    <x:xf numFmtId="0" fontId="4" fillId="5" borderId="13" xfId="0" applyNumberFormat="1" applyFont="1" applyFill="1" applyBorder="1" applyAlignment="1">
      <x:alignment vertical="center"/>
    </x:xf>
    <x:xf numFmtId="0" fontId="4" fillId="5" borderId="14" xfId="0" applyNumberFormat="1" applyFont="1" applyFill="1" applyBorder="1" applyAlignment="1">
      <x:alignment vertical="center"/>
    </x:xf>
    <x:xf numFmtId="0" fontId="1" fillId="0" borderId="15" xfId="0" applyNumberFormat="1" applyFont="1" applyFill="1" applyBorder="1"/>
    <x:xf numFmtId="0" fontId="1" fillId="0" borderId="16" xfId="0" applyNumberFormat="1" applyFont="1" applyFill="1" applyBorder="1"/>
    <x:xf numFmtId="0" fontId="1" fillId="0" borderId="17" xfId="0" applyNumberFormat="1" applyFont="1" applyFill="1" applyBorder="1"/>
    <x:xf numFmtId="0" fontId="1" fillId="0" borderId="18" xfId="0" applyNumberFormat="1" applyFont="1" applyFill="1" applyBorder="1"/>
    <x:xf numFmtId="0" fontId="1" fillId="3" borderId="16" xfId="0" applyNumberFormat="1" applyFont="1" applyFill="1" applyBorder="1"/>
    <x:xf numFmtId="0" fontId="1" fillId="3" borderId="19" xfId="0" applyNumberFormat="1" applyFont="1" applyFill="1" applyBorder="1"/>
    <x:xf numFmtId="0" fontId="1" fillId="3" borderId="20" xfId="0" applyNumberFormat="1" applyFont="1" applyFill="1" applyBorder="1"/>
    <x:xf numFmtId="0" fontId="1" fillId="3" borderId="21" xfId="0" applyNumberFormat="1" applyFont="1" applyFill="1" applyBorder="1"/>
    <x:xf numFmtId="0" fontId="1" fillId="3" borderId="19" xfId="0" applyNumberFormat="1" applyFont="1" applyFill="1" applyBorder="1" applyAlignment="1">
      <x:alignment vertical="center"/>
    </x:xf>
    <x:xf numFmtId="0" fontId="1" fillId="3" borderId="20" xfId="0" applyNumberFormat="1" applyFont="1" applyFill="1" applyBorder="1" applyAlignment="1">
      <x:alignment vertical="center"/>
    </x:xf>
    <x:xf numFmtId="0" fontId="1" fillId="3" borderId="21" xfId="0" applyNumberFormat="1" applyFont="1" applyFill="1" applyBorder="1" applyAlignment="1">
      <x:alignment vertical="center"/>
    </x:xf>
    <x:xf numFmtId="200" fontId="1" fillId="3" borderId="19" xfId="0" applyNumberFormat="1" applyFont="1" applyFill="1" applyBorder="1" applyAlignment="1">
      <x:alignment vertical="center"/>
    </x:xf>
    <x:xf numFmtId="200" fontId="1" fillId="3" borderId="20" xfId="0" applyNumberFormat="1" applyFont="1" applyFill="1" applyBorder="1" applyAlignment="1">
      <x:alignment vertical="center"/>
    </x:xf>
    <x:xf numFmtId="200" fontId="1" fillId="3" borderId="21" xfId="0" applyNumberFormat="1" applyFont="1" applyFill="1" applyBorder="1" applyAlignment="1">
      <x:alignment vertical="center"/>
    </x:xf>
    <x:xf numFmtId="0" fontId="1" fillId="4" borderId="18" xfId="0" applyNumberFormat="1" applyFont="1" applyFill="1" applyBorder="1"/>
    <x:xf numFmtId="0" fontId="5" fillId="4" borderId="18" xfId="0" applyNumberFormat="1" applyFont="1" applyFill="1" applyBorder="1"/>
    <x:xf numFmtId="0" fontId="4" fillId="5" borderId="22" xfId="0" applyNumberFormat="1" applyFont="1" applyFill="1" applyBorder="1"/>
    <x:xf numFmtId="0" fontId="4" fillId="5" borderId="22" xfId="0" applyNumberFormat="1" applyFont="1" applyFill="1" applyBorder="1" applyAlignment="1">
      <x:alignment vertical="center"/>
    </x:xf>
    <x:xf numFmtId="0" fontId="4" fillId="5" borderId="23" xfId="0" applyNumberFormat="1" applyFont="1" applyFill="1" applyBorder="1" applyAlignment="1">
      <x:alignment vertical="center"/>
    </x:xf>
    <x:xf numFmtId="0" fontId="1" fillId="0" borderId="24" xfId="0" applyNumberFormat="1" applyFont="1" applyFill="1" applyBorder="1"/>
    <x:xf numFmtId="0" fontId="1" fillId="3" borderId="15" xfId="0" applyNumberFormat="1" applyFont="1" applyFill="1" applyBorder="1"/>
    <x:xf numFmtId="0" fontId="1" fillId="3" borderId="17" xfId="0" applyNumberFormat="1" applyFont="1" applyFill="1" applyBorder="1"/>
    <x:xf numFmtId="0" fontId="1" fillId="3" borderId="24" xfId="0" applyNumberFormat="1" applyFont="1" applyFill="1" applyBorder="1"/>
    <x:xf numFmtId="0" fontId="1" fillId="3" borderId="18" xfId="0" applyNumberFormat="1" applyFont="1" applyFill="1" applyBorder="1"/>
    <x:xf numFmtId="0" fontId="1" fillId="3" borderId="25" xfId="0" applyNumberFormat="1" applyFont="1" applyFill="1" applyBorder="1"/>
    <x:xf numFmtId="0" fontId="1" fillId="3" borderId="26" xfId="0" applyNumberFormat="1" applyFont="1" applyFill="1" applyBorder="1"/>
    <x:xf numFmtId="0" fontId="1" fillId="3" borderId="27" xfId="0" applyNumberFormat="1" applyFont="1" applyFill="1" applyBorder="1"/>
    <x:xf numFmtId="0" fontId="1" fillId="3" borderId="28" xfId="0" applyNumberFormat="1" applyFont="1" applyFill="1" applyBorder="1"/>
    <x:xf numFmtId="0" fontId="1" fillId="3" borderId="29" xfId="0" applyNumberFormat="1" applyFont="1" applyFill="1" applyBorder="1"/>
    <x:xf numFmtId="0" fontId="1" fillId="3" borderId="30" xfId="0" applyNumberFormat="1" applyFont="1" applyFill="1" applyBorder="1"/>
    <x:xf numFmtId="0" fontId="1" fillId="3" borderId="25" xfId="0" applyNumberFormat="1" applyFont="1" applyFill="1" applyBorder="1" applyAlignment="1">
      <x:alignment vertical="center"/>
    </x:xf>
    <x:xf numFmtId="0" fontId="1" fillId="3" borderId="26" xfId="0" applyNumberFormat="1" applyFont="1" applyFill="1" applyBorder="1" applyAlignment="1">
      <x:alignment vertical="center"/>
    </x:xf>
    <x:xf numFmtId="0" fontId="1" fillId="3" borderId="27" xfId="0" applyNumberFormat="1" applyFont="1" applyFill="1" applyBorder="1" applyAlignment="1">
      <x:alignment vertical="center"/>
    </x:xf>
    <x:xf numFmtId="0" fontId="1" fillId="3" borderId="28" xfId="0" applyNumberFormat="1" applyFont="1" applyFill="1" applyBorder="1" applyAlignment="1">
      <x:alignment vertical="center"/>
    </x:xf>
    <x:xf numFmtId="0" fontId="1" fillId="3" borderId="29" xfId="0" applyNumberFormat="1" applyFont="1" applyFill="1" applyBorder="1" applyAlignment="1">
      <x:alignment vertical="center"/>
    </x:xf>
    <x:xf numFmtId="0" fontId="1" fillId="3" borderId="30" xfId="0" applyNumberFormat="1" applyFont="1" applyFill="1" applyBorder="1" applyAlignment="1">
      <x:alignment vertical="center"/>
    </x:xf>
    <x:xf numFmtId="202" fontId="1" fillId="3" borderId="25" xfId="0" applyNumberFormat="1" applyFont="1" applyFill="1" applyBorder="1" applyAlignment="1">
      <x:alignment vertical="center"/>
    </x:xf>
    <x:xf numFmtId="202" fontId="1" fillId="3" borderId="26" xfId="0" applyNumberFormat="1" applyFont="1" applyFill="1" applyBorder="1" applyAlignment="1">
      <x:alignment vertical="center"/>
    </x:xf>
    <x:xf numFmtId="202" fontId="1" fillId="3" borderId="27" xfId="0" applyNumberFormat="1" applyFont="1" applyFill="1" applyBorder="1" applyAlignment="1">
      <x:alignment vertical="center"/>
    </x:xf>
    <x:xf numFmtId="202" fontId="1" fillId="3" borderId="28" xfId="0" applyNumberFormat="1" applyFont="1" applyFill="1" applyBorder="1" applyAlignment="1">
      <x:alignment vertical="center"/>
    </x:xf>
    <x:xf numFmtId="202" fontId="1" fillId="3" borderId="29" xfId="0" applyNumberFormat="1" applyFont="1" applyFill="1" applyBorder="1" applyAlignment="1">
      <x:alignment vertical="center"/>
    </x:xf>
    <x:xf numFmtId="202" fontId="1" fillId="3" borderId="30" xfId="0" applyNumberFormat="1" applyFont="1" applyFill="1" applyBorder="1" applyAlignment="1">
      <x:alignment vertical="center"/>
    </x:xf>
    <x:xf numFmtId="0" fontId="1" fillId="7" borderId="24" xfId="0" applyNumberFormat="1" applyFont="1" applyFill="1" applyBorder="1"/>
    <x:xf numFmtId="202" fontId="1" fillId="3" borderId="19" xfId="0" applyNumberFormat="1" applyFont="1" applyFill="1" applyBorder="1" applyAlignment="1">
      <x:alignment vertical="center"/>
    </x:xf>
    <x:xf numFmtId="202" fontId="1" fillId="3" borderId="20" xfId="0" applyNumberFormat="1" applyFont="1" applyFill="1" applyBorder="1" applyAlignment="1">
      <x:alignment vertical="center"/>
    </x:xf>
    <x:xf numFmtId="202" fontId="1" fillId="3" borderId="21" xfId="0" applyNumberFormat="1" applyFont="1" applyFill="1" applyBorder="1" applyAlignment="1">
      <x:alignment vertical="center"/>
    </x:xf>
    <x:xf numFmtId="202" fontId="1" fillId="3" borderId="5" xfId="0" applyNumberFormat="1" applyFont="1" applyFill="1" applyBorder="1" applyAlignment="1">
      <x:alignment vertical="center"/>
    </x:xf>
    <x:xf numFmtId="200" fontId="1" fillId="3" borderId="25" xfId="0" applyNumberFormat="1" applyFont="1" applyFill="1" applyBorder="1" applyAlignment="1">
      <x:alignment vertical="center"/>
    </x:xf>
    <x:xf numFmtId="200" fontId="1" fillId="3" borderId="27" xfId="0" applyNumberFormat="1" applyFont="1" applyFill="1" applyBorder="1" applyAlignment="1">
      <x:alignment vertical="center"/>
    </x:xf>
    <x:xf numFmtId="200" fontId="1" fillId="3" borderId="29" xfId="0" applyNumberFormat="1" applyFont="1" applyFill="1" applyBorder="1" applyAlignment="1">
      <x:alignment vertical="center"/>
    </x:xf>
    <x:xf numFmtId="0" fontId="1" fillId="7" borderId="16" xfId="0" applyNumberFormat="1" applyFont="1" applyFill="1" applyBorder="1"/>
    <x:xf numFmtId="0" fontId="1" fillId="7" borderId="18" xfId="0" applyNumberFormat="1" applyFont="1" applyFill="1" applyBorder="1"/>
    <x:xf numFmtId="203" fontId="1" fillId="3" borderId="19" xfId="0" applyNumberFormat="1" applyFont="1" applyFill="1" applyBorder="1" applyAlignment="1">
      <x:alignment vertical="center"/>
    </x:xf>
    <x:xf numFmtId="203" fontId="1" fillId="3" borderId="20" xfId="0" applyNumberFormat="1" applyFont="1" applyFill="1" applyBorder="1" applyAlignment="1">
      <x:alignment vertical="center"/>
    </x:xf>
    <x:xf numFmtId="203" fontId="1" fillId="3" borderId="21" xfId="0" applyNumberFormat="1" applyFont="1" applyFill="1" applyBorder="1" applyAlignment="1">
      <x:alignment vertical="center"/>
    </x:xf>
    <x:xf numFmtId="0" fontId="1" fillId="7" borderId="15" xfId="0" applyNumberFormat="1" applyFont="1" applyFill="1" applyBorder="1"/>
    <x:xf numFmtId="0" fontId="1" fillId="7" borderId="17" xfId="0" applyNumberFormat="1" applyFont="1" applyFill="1" applyBorder="1"/>
  </x:cellXfs>
  <x:cellStyles count="1">
    <x:cellStyle name="Normal" xfId="0"/>
  </x:cellStyles>
  <x:dxfs count="2">
    <x:dxf>
      <x:font>
        <x:b/>
        <x:color rgb="FF206A3B"/>
      </x:font>
      <x:fill>
        <x:patternFill patternType="solid">
          <x:bgColor rgb="FFE7F5EC"/>
        </x:patternFill>
      </x:fill>
    </x:dxf>
    <x:dxf>
      <x:font>
        <x:b/>
        <x:color rgb="FFA82020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590b7010f249ad" /><Relationship Type="http://schemas.openxmlformats.org/officeDocument/2006/relationships/theme" Target="/xl/theme/theme1.xml" Id="R9a971aa0108a45a1" /><Relationship Type="http://schemas.openxmlformats.org/officeDocument/2006/relationships/sharedStrings" Target="/xl/sharedStrings.xml" Id="R28749e64e2474387" /><Relationship Type="http://schemas.openxmlformats.org/officeDocument/2006/relationships/worksheet" Target="/xl/worksheets/sheet1.xml" Id="R73980c44e1fb4b9a" /><Relationship Type="http://schemas.openxmlformats.org/officeDocument/2006/relationships/worksheet" Target="/xl/worksheets/sheet2.xml" Id="Rbc776f4acbbd49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82B4C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2" hidden="0" customWidth="1"/>
    <x:col min="3" max="3" width="24" hidden="0" customWidth="1"/>
    <x:col min="4" max="4" width="18" hidden="0" customWidth="1"/>
    <x:col min="5" max="5" width="28" hidden="0" customWidth="1"/>
    <x:col min="6" max="6" width="20" hidden="0" customWidth="1"/>
    <x:col min="7" max="7" width="28" hidden="0" customWidth="1"/>
    <x:col min="8" max="8" width="3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Calculadora de Livros com Hot Melt</x:v>
      </x:c>
      <x:c r="B2" s="1"/>
      <x:c r="C2" s="1"/>
      <x:c r="D2" s="1"/>
      <x:c r="E2" s="1"/>
      <x:c r="F2" s="1"/>
      <x:c r="G2" s="1"/>
      <x:c r="H2" s="1"/>
    </x:row>
    <x:row r="3" ht="28" customHeight="1">
      <x:c r="A3" s="4" t="str">
        <x:v>Preencha as células amarelas. A modalidade principal considera o livro completo produzido pela Berlim.</x:v>
      </x:c>
      <x:c r="B3" s="3"/>
      <x:c r="C3" s="3"/>
      <x:c r="D3" s="3"/>
      <x:c r="E3" s="3"/>
      <x:c r="F3" s="3"/>
      <x:c r="G3" s="3"/>
      <x:c r="H3" s="3"/>
    </x:row>
    <x:row r="4" ht="24" customHeight="1">
      <x:c r="A4" s="8" t="str">
        <x:v>1  Informações do pedido</x:v>
      </x:c>
      <x:c r="B4" s="9" t="str"/>
      <x:c r="C4" s="9" t="str"/>
      <x:c r="D4" s="9" t="str"/>
      <x:c r="E4" s="9" t="str"/>
      <x:c r="F4" s="9" t="str"/>
      <x:c r="G4" s="9" t="str"/>
      <x:c r="H4" s="10" t="str"/>
    </x:row>
    <x:row r="5" ht="25" customHeight="1">
      <x:c r="A5" s="1" t="str">
        <x:v>Modalidade</x:v>
      </x:c>
      <x:c r="B5" s="13" t="str">
        <x:v>Livro completo</x:v>
      </x:c>
      <x:c r="C5" s="1" t="str">
        <x:v>Quantidade</x:v>
      </x:c>
      <x:c r="D5" s="19"/>
      <x:c r="E5" s="1" t="str">
        <x:v>Formato fechado</x:v>
      </x:c>
      <x:c r="F5" s="13" t="str">
        <x:v>A5</x:v>
      </x:c>
      <x:c r="G5" s="1" t="str">
        <x:v>Perda de produção</x:v>
      </x:c>
      <x:c r="H5" s="20" t="n">
        <x:v>0.075</x:v>
      </x:c>
    </x:row>
    <x:row r="6" ht="25" customHeight="1">
      <x:c r="A6" s="1" t="str">
        <x:v>Páginas P&amp;B</x:v>
      </x:c>
      <x:c r="B6" s="19"/>
      <x:c r="C6" s="21" t="str">
        <x:v>Páginas coloridas</x:v>
      </x:c>
      <x:c r="D6" s="19" t="n">
        <x:v>0</x:v>
      </x:c>
      <x:c r="E6" s="1" t="str">
        <x:v>Aproveitamento por face A4</x:v>
      </x:c>
      <x:c r="F6" s="18" t="n">
        <x:f>IF(H6&gt;0,H6,IF(F5="","",VLOOKUP(F5,'Tabela Hot Melt'!$A$5:$B$8,2,FALSE)))</x:f>
        <x:v>2</x:v>
      </x:c>
      <x:c r="G6" s="1" t="str">
        <x:v>Aproveitamento manual</x:v>
      </x:c>
      <x:c r="H6" s="19"/>
    </x:row>
    <x:row r="7" ht="25" customHeight="1">
      <x:c r="A7" s="1" t="str">
        <x:v>Prazo</x:v>
      </x:c>
      <x:c r="B7" s="13" t="str">
        <x:v>4 dias úteis</x:v>
      </x:c>
      <x:c r="C7" s="1" t="str">
        <x:v>Prova física</x:v>
      </x:c>
      <x:c r="D7" s="13" t="str">
        <x:v>Não</x:v>
      </x:c>
      <x:c r="E7" s="1" t="str">
        <x:v>Laminação da capa</x:v>
      </x:c>
      <x:c r="F7" s="13" t="str">
        <x:v>Fosca</x:v>
      </x:c>
      <x:c r="G7" s="1" t="str">
        <x:v>Papel do miolo</x:v>
      </x:c>
      <x:c r="H7" s="17" t="str">
        <x:v>Offset 90g</x:v>
      </x:c>
    </x:row>
    <x:row r="8" ht="25" customHeight="1">
      <x:c r="A8" s="1"/>
      <x:c r="B8" s="1"/>
      <x:c r="C8" s="1"/>
      <x:c r="D8" s="1"/>
      <x:c r="E8" s="1"/>
      <x:c r="F8" s="1"/>
      <x:c r="G8" s="1"/>
      <x:c r="H8" s="1"/>
    </x:row>
    <x:row r="9" ht="25" customHeight="1">
      <x:c r="A9" s="8" t="str">
        <x:v>2  Cálculo da produção</x:v>
      </x:c>
      <x:c r="B9" s="9" t="str"/>
      <x:c r="C9" s="9" t="str"/>
      <x:c r="D9" s="9" t="str"/>
      <x:c r="E9" s="9" t="str"/>
      <x:c r="F9" s="9" t="str"/>
      <x:c r="G9" s="9" t="str"/>
      <x:c r="H9" s="10" t="str"/>
    </x:row>
    <x:row r="10" ht="25" customHeight="1">
      <x:c r="A10" s="1" t="str">
        <x:v>Faces A4 P&amp;B</x:v>
      </x:c>
      <x:c r="B10" s="18" t="str">
        <x:f>IF(B5="Somente Hot Melt",0,IF(OR(D5="",B6="",F6=""),"",ROUNDUP(B6*D5/F6*(1+H5),0)))</x:f>
      </x:c>
      <x:c r="C10" s="1" t="str">
        <x:v>Preço P&amp;B por face</x:v>
      </x:c>
      <x:c r="D10" s="22" t="str">
        <x:f>IF(B10="","",IF(B10=0,0,VLOOKUP(B10,'Tabela Hot Melt'!$D$5:$G$8,3,TRUE)))</x:f>
      </x:c>
      <x:c r="E10" s="1" t="str">
        <x:v>Faces A4 coloridas</x:v>
      </x:c>
      <x:c r="F10" s="18" t="str">
        <x:f>IF(B5="Somente Hot Melt",0,IF(OR(D5="",D6="",F6=""),"",ROUNDUP(D6*D5/F6*(1+H5),0)))</x:f>
      </x:c>
      <x:c r="G10" s="1" t="str">
        <x:v>Preço colorido por face</x:v>
      </x:c>
      <x:c r="H10" s="22" t="str">
        <x:f>IF(F10="","",IF(F10=0,0,VLOOKUP(F10,'Tabela Hot Melt'!$D$5:$G$8,4,TRUE)))</x:f>
      </x:c>
    </x:row>
    <x:row r="11" ht="25" customHeight="1">
      <x:c r="A11" s="1" t="str">
        <x:v>Impressão do miolo</x:v>
      </x:c>
      <x:c r="B11" s="22" t="str">
        <x:f>IF(D5="","",IF(B5="Somente Hot Melt",0,B10*D10+F10*H10))</x:f>
      </x:c>
      <x:c r="C11" s="1" t="str">
        <x:v>Capas coloridas</x:v>
      </x:c>
      <x:c r="D11" s="22" t="str">
        <x:f>IF(D5="","",IF(B5="Livro completo",D5*'Tabela Hot Melt'!$K$5,0))</x:f>
      </x:c>
      <x:c r="E11" s="1" t="str">
        <x:v>Laminação</x:v>
      </x:c>
      <x:c r="F11" s="22" t="str">
        <x:f>IF(D5="","",IF(OR(B5="Somente Hot Melt",F7="Sem laminação"),0,MAX(D5*'Tabela Hot Melt'!$K$6,'Tabela Hot Melt'!$K$7)))</x:f>
      </x:c>
      <x:c r="G11" s="1" t="str">
        <x:v>Hot Melt completo</x:v>
      </x:c>
      <x:c r="H11" s="22" t="str">
        <x:f>IF(D5="","",MAX(D5*VLOOKUP(D5,'Tabela Hot Melt'!$A$13:$B$19,2,TRUE),'Tabela Hot Melt'!$K$10))</x:f>
      </x:c>
    </x:row>
    <x:row r="12" ht="25" customHeight="1">
      <x:c r="A12" s="1" t="str">
        <x:v>Prova física</x:v>
      </x:c>
      <x:c r="B12" s="22" t="str">
        <x:f>IF(D5="","",IF(AND(B5="Livro completo",D7="Sim"),'Tabela Hot Melt'!$K$8,0))</x:f>
      </x:c>
      <x:c r="C12" s="1" t="str">
        <x:v>Subtotal da produção</x:v>
      </x:c>
      <x:c r="D12" s="22" t="str">
        <x:f>IF(D5="","",SUM(B11,D11,F11,H11))</x:f>
      </x:c>
      <x:c r="E12" s="1" t="str">
        <x:v>Multiplicador do prazo</x:v>
      </x:c>
      <x:c r="F12" s="23" t="n">
        <x:f>IF(B7="","",VLOOKUP(B7,'Tabela Hot Melt'!$E$13:$F$16,2,FALSE))</x:f>
        <x:v>1</x:v>
      </x:c>
      <x:c r="G12" s="1" t="str">
        <x:v>Adicional de urgência</x:v>
      </x:c>
      <x:c r="H12" s="22" t="str">
        <x:f>IF(OR(D12="",F12=""),"",D12*(F12-1))</x:f>
      </x:c>
    </x:row>
    <x:row r="13" ht="25" customHeight="1">
      <x:c r="A13" s="1"/>
      <x:c r="B13" s="1"/>
      <x:c r="C13" s="1"/>
      <x:c r="D13" s="1"/>
      <x:c r="E13" s="1"/>
      <x:c r="F13" s="1"/>
      <x:c r="G13" s="1"/>
      <x:c r="H13" s="1"/>
    </x:row>
    <x:row r="14" ht="25" customHeight="1">
      <x:c r="A14" s="8" t="str">
        <x:v>3  Resultado do orçamento</x:v>
      </x:c>
      <x:c r="B14" s="9" t="str"/>
      <x:c r="C14" s="9" t="str"/>
      <x:c r="D14" s="9" t="str"/>
      <x:c r="E14" s="9" t="str"/>
      <x:c r="F14" s="9" t="str"/>
      <x:c r="G14" s="9" t="str"/>
      <x:c r="H14" s="10" t="str"/>
    </x:row>
    <x:row r="15" ht="25" customHeight="1">
      <x:c r="A15" s="26" t="str">
        <x:v>TOTAL DO PEDIDO</x:v>
      </x:c>
      <x:c r="B15" s="28" t="str">
        <x:f>IF(OR(D12="",F12=""),"",D12*F12+B12)</x:f>
      </x:c>
      <x:c r="C15" s="31" t="str">
        <x:v>VALOR POR LIVRO</x:v>
      </x:c>
      <x:c r="D15" s="33" t="str">
        <x:f>IF(OR(B15="",D5=""),"",B15/D5)</x:f>
      </x:c>
      <x:c r="E15" s="1" t="str">
        <x:v>Prazo selecionado</x:v>
      </x:c>
      <x:c r="F15" s="17" t="str">
        <x:f>B7</x:f>
        <x:v>4 dias úteis</x:v>
      </x:c>
      <x:c r="G15" s="1" t="str">
        <x:v>Situação</x:v>
      </x:c>
      <x:c r="H15" s="17" t="str">
        <x:f>IF(D5="","Preencha a quantidade",IF(B5="Livro completo",IF(F5="","Selecione o formato",IF(B6+D6=0,"Informe as páginas",IF(F6="","Informe o aproveitamento",IF(MOD(B6+D6,2)&lt;&gt;0,"Páginas ímpares: confirmar",IF(AND(D7="Sim",B7="Mesmo dia"),"Prova física indisponível no mesmo dia","Pronto para orçamento"))))),IF(D7="Sim","Prova física não se aplica","Pronto para orçamento")))</x:f>
        <x:v>Preencha a quantidade</x:v>
      </x:c>
    </x:row>
    <x:row r="16" ht="25" customHeight="1">
      <x:c r="A16" s="35" t="str">
        <x:v>Observação comercial</x:v>
      </x:c>
      <x:c r="B16" s="36" t="str">
        <x:f>IF(B5="Somente Hot Melt","Cliente fornece miolo e capa prontos.",IF(D7="Sim","Uma unidade completa será produzida antes do restante do lote.","Capa sem orelhas e frete não incluído."))</x:f>
        <x:v>Capa sem orelhas e frete não incluído.</x:v>
      </x:c>
      <x:c r="C16" s="34" t="str"/>
      <x:c r="D16" s="34" t="str"/>
      <x:c r="E16" s="34" t="str"/>
      <x:c r="F16" s="34" t="str"/>
      <x:c r="G16" s="34" t="str"/>
      <x:c r="H16" s="34" t="str"/>
    </x:row>
    <x:row r="17">
      <x:c r="A17" s="1"/>
      <x:c r="B17" s="1"/>
      <x:c r="C17" s="1"/>
      <x:c r="D17" s="1"/>
      <x:c r="E17" s="1"/>
      <x:c r="F17" s="1"/>
      <x:c r="G17" s="1"/>
      <x:c r="H17" s="1"/>
    </x:row>
    <x:row r="18" ht="22" customHeight="1">
      <x:c r="A18" s="37" t="str">
        <x:v>Regras utilizadas</x:v>
      </x:c>
      <x:c r="B18" s="36"/>
      <x:c r="C18" s="36"/>
      <x:c r="D18" s="36"/>
      <x:c r="E18" s="36"/>
      <x:c r="F18" s="36"/>
      <x:c r="G18" s="36"/>
      <x:c r="H18" s="36"/>
    </x:row>
    <x:row r="19" ht="22" customHeight="1">
      <x:c r="A19" s="36" t="str">
        <x:v>A4 comporta 1 página por face, A5 comporta 2 e A6 comporta 4. A perda é aplicada antes da escolha da faixa de impressão.</x:v>
      </x:c>
      <x:c r="B19" s="36"/>
      <x:c r="C19" s="36"/>
      <x:c r="D19" s="36"/>
      <x:c r="E19" s="36"/>
      <x:c r="F19" s="36"/>
      <x:c r="G19" s="36"/>
      <x:c r="H19" s="36"/>
    </x:row>
    <x:row r="20" ht="22" customHeight="1">
      <x:c r="A20" s="36" t="str">
        <x:v>A prova física custa R$ 50,00, conta como uma unidade do pedido e não está disponível para produção no mesmo dia.</x:v>
      </x:c>
      <x:c r="B20" s="36"/>
      <x:c r="C20" s="36"/>
      <x:c r="D20" s="36"/>
      <x:c r="E20" s="36"/>
      <x:c r="F20" s="36"/>
      <x:c r="G20" s="36"/>
      <x:c r="H20" s="36"/>
    </x:row>
    <x:row r="21" ht="22" customHeight="1">
      <x:c r="A21" s="36" t="str">
        <x:v>O Hot Melt inclui vinco e refiles. Capa sem orelhas. Frete não incluído. Alterações após a prova são cobradas separadamente.</x:v>
      </x:c>
      <x:c r="B21" s="36"/>
      <x:c r="C21" s="36"/>
      <x:c r="D21" s="36"/>
      <x:c r="E21" s="36"/>
      <x:c r="F21" s="36"/>
      <x:c r="G21" s="36"/>
      <x:c r="H21" s="36"/>
    </x:row>
    <x:row r="22">
      <x:c r="A22" s="1"/>
      <x:c r="B22" s="1"/>
      <x:c r="C22" s="1"/>
      <x:c r="D22" s="1"/>
      <x:c r="E22" s="1"/>
      <x:c r="F22" s="1"/>
      <x:c r="G22" s="1"/>
      <x:c r="H22" s="1"/>
    </x:row>
  </x:sheetData>
  <x:conditionalFormatting sqref="H15:H15">
    <x:cfRule type="containsText" dxfId="0" priority="1" operator="containsText" text="Pronto para orçamento"/>
    <x:cfRule type="notContainsText" dxfId="1" priority="2" text="Pronto para orçamento"/>
  </x:conditionalFormatting>
  <x:dataValidations count="10">
    <x:dataValidation type="list" sqref="B5">
      <x:formula1>"Livro completo,Somente Hot Melt"</x:formula1>
    </x:dataValidation>
    <x:dataValidation type="whole" operator="between" sqref="D5">
      <x:formula1>1</x:formula1>
      <x:formula2>100000</x:formula2>
    </x:dataValidation>
    <x:dataValidation type="list" sqref="F5">
      <x:formula1>"A4,A5,A6,Personalizado"</x:formula1>
    </x:dataValidation>
    <x:dataValidation type="decimal" operator="between" sqref="H5">
      <x:formula1>0</x:formula1>
      <x:formula2>0.5</x:formula2>
    </x:dataValidation>
    <x:dataValidation type="whole" operator="between" sqref="B6">
      <x:formula1>0</x:formula1>
      <x:formula2>2000</x:formula2>
    </x:dataValidation>
    <x:dataValidation type="whole" operator="between" sqref="D6">
      <x:formula1>0</x:formula1>
      <x:formula2>2000</x:formula2>
    </x:dataValidation>
    <x:dataValidation type="whole" operator="between" sqref="H6">
      <x:formula1>1</x:formula1>
      <x:formula2>16</x:formula2>
    </x:dataValidation>
    <x:dataValidation type="list" sqref="B7">
      <x:formula1>"4 dias úteis,2–3 dias úteis,1 dia útil,Mesmo dia"</x:formula1>
    </x:dataValidation>
    <x:dataValidation type="list" sqref="D7">
      <x:formula1>"Não,Sim"</x:formula1>
    </x:dataValidation>
    <x:dataValidation type="list" sqref="F7">
      <x:formula1>"Fosca,Brilho,Sem laminação"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F6A000"/>
  </x:sheetPr>
  <x:sheetViews>
    <x:sheetView showGridLines="0" workbookViewId="0"/>
  </x:sheetViews>
  <x:sheetFormatPr defaultRowHeight="15"/>
  <x:cols>
    <x:col min="1" max="1" width="25" hidden="0" customWidth="1"/>
    <x:col min="2" max="2" width="22" hidden="0" customWidth="1"/>
    <x:col min="3" max="3" width="20" hidden="0" customWidth="1"/>
    <x:col min="4" max="4" width="21" hidden="0" customWidth="1"/>
    <x:col min="5" max="5" width="19" hidden="0" customWidth="1"/>
    <x:col min="6" max="6" width="20" hidden="0" customWidth="1"/>
    <x:col min="7" max="7" width="21" hidden="0" customWidth="1"/>
    <x:col min="8" max="8" width="4" hidden="0" customWidth="1"/>
    <x:col min="9" max="9" width="4" hidden="0" customWidth="1"/>
    <x:col min="10" max="10" width="30" hidden="0" customWidth="1"/>
    <x:col min="11" max="11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2" t="str">
        <x:v>Parâmetros da Calculadora Hot Melt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8" customHeight="1">
      <x:c r="A3" s="4" t="str">
        <x:v>Altere somente as células amarelas. Mantenha as quantidades mínimas em ordem crescente.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 ht="24" customHeight="1">
      <x:c r="A4" s="43" t="str">
        <x:v>Formato</x:v>
      </x:c>
      <x:c r="B4" s="44" t="str">
        <x:v>Páginas por face A4</x:v>
      </x:c>
      <x:c r="C4" s="1"/>
      <x:c r="D4" s="43" t="str">
        <x:v>Impressões mínimas</x:v>
      </x:c>
      <x:c r="E4" s="63" t="str">
        <x:v>Faixa</x:v>
      </x:c>
      <x:c r="F4" s="63" t="str">
        <x:v>P&amp;B por face</x:v>
      </x:c>
      <x:c r="G4" s="44" t="str">
        <x:v>Colorido por face</x:v>
      </x:c>
      <x:c r="H4" s="1"/>
      <x:c r="I4" s="1"/>
      <x:c r="J4" s="43" t="str">
        <x:v>Parâmetro</x:v>
      </x:c>
      <x:c r="K4" s="44" t="str">
        <x:v>Valor</x:v>
      </x:c>
    </x:row>
    <x:row r="5" ht="24" customHeight="1">
      <x:c r="A5" s="45" t="str">
        <x:v>A4</x:v>
      </x:c>
      <x:c r="B5" s="56" t="n">
        <x:v>1</x:v>
      </x:c>
      <x:c r="C5" s="1"/>
      <x:c r="D5" s="56" t="n">
        <x:v>1</x:v>
      </x:c>
      <x:c r="E5" s="34" t="str">
        <x:v>1–500</x:v>
      </x:c>
      <x:c r="F5" s="81" t="n">
        <x:v>0.35</x:v>
      </x:c>
      <x:c r="G5" s="82" t="n">
        <x:v>0.6</x:v>
      </x:c>
      <x:c r="H5" s="1"/>
      <x:c r="I5" s="1"/>
      <x:c r="J5" s="45" t="str">
        <x:v>Capa colorida por livro</x:v>
      </x:c>
      <x:c r="K5" s="88" t="n">
        <x:v>4.25</x:v>
      </x:c>
    </x:row>
    <x:row r="6" ht="24" customHeight="1">
      <x:c r="A6" s="45" t="str">
        <x:v>A5</x:v>
      </x:c>
      <x:c r="B6" s="57" t="n">
        <x:v>2</x:v>
      </x:c>
      <x:c r="C6" s="1"/>
      <x:c r="D6" s="57" t="n">
        <x:v>501</x:v>
      </x:c>
      <x:c r="E6" s="34" t="str">
        <x:v>501–1.000</x:v>
      </x:c>
      <x:c r="F6" s="83" t="n">
        <x:v>0.3</x:v>
      </x:c>
      <x:c r="G6" s="84" t="n">
        <x:v>0.5</x:v>
      </x:c>
      <x:c r="H6" s="1"/>
      <x:c r="I6" s="1"/>
      <x:c r="J6" s="45" t="str">
        <x:v>Laminação por face</x:v>
      </x:c>
      <x:c r="K6" s="89" t="n">
        <x:v>1</x:v>
      </x:c>
    </x:row>
    <x:row r="7" ht="24" customHeight="1">
      <x:c r="A7" s="45" t="str">
        <x:v>A6</x:v>
      </x:c>
      <x:c r="B7" s="58" t="n">
        <x:v>4</x:v>
      </x:c>
      <x:c r="C7" s="1"/>
      <x:c r="D7" s="57" t="n">
        <x:v>1001</x:v>
      </x:c>
      <x:c r="E7" s="34" t="str">
        <x:v>1.001–2.500</x:v>
      </x:c>
      <x:c r="F7" s="83" t="n">
        <x:v>0.25</x:v>
      </x:c>
      <x:c r="G7" s="84" t="n">
        <x:v>0.45</x:v>
      </x:c>
      <x:c r="H7" s="1"/>
      <x:c r="I7" s="1"/>
      <x:c r="J7" s="45" t="str">
        <x:v>Mínimo de laminação</x:v>
      </x:c>
      <x:c r="K7" s="89" t="n">
        <x:v>10</x:v>
      </x:c>
    </x:row>
    <x:row r="8" ht="24" customHeight="1">
      <x:c r="A8" s="47" t="str">
        <x:v>Personalizado</x:v>
      </x:c>
      <x:c r="B8" s="17"/>
      <x:c r="C8" s="1"/>
      <x:c r="D8" s="58" t="n">
        <x:v>2501</x:v>
      </x:c>
      <x:c r="E8" s="87" t="str">
        <x:v>2.501+</x:v>
      </x:c>
      <x:c r="F8" s="85" t="n">
        <x:v>0.22</x:v>
      </x:c>
      <x:c r="G8" s="86" t="n">
        <x:v>0.42</x:v>
      </x:c>
      <x:c r="H8" s="1"/>
      <x:c r="I8" s="1"/>
      <x:c r="J8" s="45" t="str">
        <x:v>Prova física completa</x:v>
      </x:c>
      <x:c r="K8" s="90" t="n">
        <x:v>50</x:v>
      </x:c>
    </x:row>
    <x:row r="9" ht="24" customHeight="1">
      <x:c r="A9" s="1"/>
      <x:c r="B9" s="1"/>
      <x:c r="C9" s="1"/>
      <x:c r="D9" s="1"/>
      <x:c r="E9" s="1"/>
      <x:c r="F9" s="1"/>
      <x:c r="G9" s="1"/>
      <x:c r="H9" s="1"/>
      <x:c r="I9" s="1"/>
      <x:c r="J9" s="45" t="str">
        <x:v>Perda padrão</x:v>
      </x:c>
      <x:c r="K9" s="20" t="n">
        <x:v>0.075</x:v>
      </x:c>
    </x:row>
    <x:row r="10" ht="24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47" t="str">
        <x:v>Mínimo do lote Hot Melt</x:v>
      </x:c>
      <x:c r="K10" s="91" t="n">
        <x:v>50</x:v>
      </x:c>
    </x:row>
    <x:row r="11" ht="24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 ht="24" customHeight="1">
      <x:c r="A12" s="43" t="str">
        <x:v>Quantidade mínima</x:v>
      </x:c>
      <x:c r="B12" s="63" t="str">
        <x:v>Hot Melt por livro</x:v>
      </x:c>
      <x:c r="C12" s="44" t="str">
        <x:v>Faixa</x:v>
      </x:c>
      <x:c r="D12" s="1"/>
      <x:c r="E12" s="43" t="str">
        <x:v>Prazo</x:v>
      </x:c>
      <x:c r="F12" s="63" t="str">
        <x:v>Multiplicador</x:v>
      </x:c>
      <x:c r="G12" s="44" t="str">
        <x:v>Regra</x:v>
      </x:c>
      <x:c r="H12" s="1"/>
      <x:c r="I12" s="1"/>
      <x:c r="J12" s="1"/>
      <x:c r="K12" s="1"/>
    </x:row>
    <x:row r="13" ht="24" customHeight="1">
      <x:c r="A13" s="92" t="n">
        <x:v>1</x:v>
      </x:c>
      <x:c r="B13" s="82" t="n">
        <x:v>35</x:v>
      </x:c>
      <x:c r="C13" s="95" t="str">
        <x:v>1 unidade</x:v>
      </x:c>
      <x:c r="D13" s="1"/>
      <x:c r="E13" s="100" t="str">
        <x:v>4 dias úteis</x:v>
      </x:c>
      <x:c r="F13" s="97" t="n">
        <x:v>1</x:v>
      </x:c>
      <x:c r="G13" s="95" t="str">
        <x:v>Preço normal</x:v>
      </x:c>
      <x:c r="H13" s="1"/>
      <x:c r="I13" s="1"/>
      <x:c r="J13" s="1"/>
      <x:c r="K13" s="1"/>
    </x:row>
    <x:row r="14" ht="24" customHeight="1">
      <x:c r="A14" s="93" t="n">
        <x:v>2</x:v>
      </x:c>
      <x:c r="B14" s="84" t="n">
        <x:v>25</x:v>
      </x:c>
      <x:c r="C14" s="95" t="str">
        <x:v>2 unidades</x:v>
      </x:c>
      <x:c r="D14" s="1"/>
      <x:c r="E14" s="100" t="str">
        <x:v>2–3 dias úteis</x:v>
      </x:c>
      <x:c r="F14" s="98" t="n">
        <x:v>1.111111</x:v>
      </x:c>
      <x:c r="G14" s="95" t="str">
        <x:v>+11,11%</x:v>
      </x:c>
      <x:c r="H14" s="1"/>
      <x:c r="I14" s="1"/>
      <x:c r="J14" s="1"/>
      <x:c r="K14" s="1"/>
    </x:row>
    <x:row r="15" ht="24" customHeight="1">
      <x:c r="A15" s="93" t="n">
        <x:v>3</x:v>
      </x:c>
      <x:c r="B15" s="84" t="n">
        <x:v>20</x:v>
      </x:c>
      <x:c r="C15" s="95" t="str">
        <x:v>3 a 4 unidades</x:v>
      </x:c>
      <x:c r="D15" s="1"/>
      <x:c r="E15" s="100" t="str">
        <x:v>1 dia útil</x:v>
      </x:c>
      <x:c r="F15" s="98" t="n">
        <x:v>1.444444</x:v>
      </x:c>
      <x:c r="G15" s="95" t="str">
        <x:v>+44,44%</x:v>
      </x:c>
      <x:c r="H15" s="1"/>
      <x:c r="I15" s="1"/>
      <x:c r="J15" s="1"/>
      <x:c r="K15" s="1"/>
    </x:row>
    <x:row r="16" ht="24" customHeight="1">
      <x:c r="A16" s="93" t="n">
        <x:v>5</x:v>
      </x:c>
      <x:c r="B16" s="84" t="n">
        <x:v>18</x:v>
      </x:c>
      <x:c r="C16" s="95" t="str">
        <x:v>5 a 9 unidades</x:v>
      </x:c>
      <x:c r="D16" s="1"/>
      <x:c r="E16" s="101" t="str">
        <x:v>Mesmo dia</x:v>
      </x:c>
      <x:c r="F16" s="99" t="n">
        <x:v>1.777778</x:v>
      </x:c>
      <x:c r="G16" s="96" t="str">
        <x:v>+77,78%</x:v>
      </x:c>
      <x:c r="H16" s="1"/>
      <x:c r="I16" s="1"/>
      <x:c r="J16" s="1"/>
      <x:c r="K16" s="1"/>
    </x:row>
    <x:row r="17" ht="24" customHeight="1">
      <x:c r="A17" s="93" t="n">
        <x:v>10</x:v>
      </x:c>
      <x:c r="B17" s="84" t="n">
        <x:v>15</x:v>
      </x:c>
      <x:c r="C17" s="95" t="str">
        <x:v>10 a 24 unidades</x:v>
      </x:c>
      <x:c r="D17" s="1"/>
      <x:c r="E17" s="1"/>
      <x:c r="F17" s="1"/>
      <x:c r="G17" s="1"/>
      <x:c r="H17" s="1"/>
      <x:c r="I17" s="1"/>
      <x:c r="J17" s="1"/>
      <x:c r="K17" s="1"/>
    </x:row>
    <x:row r="18" ht="24" customHeight="1">
      <x:c r="A18" s="93" t="n">
        <x:v>25</x:v>
      </x:c>
      <x:c r="B18" s="84" t="n">
        <x:v>13</x:v>
      </x:c>
      <x:c r="C18" s="95" t="str">
        <x:v>25 a 49 unidades</x:v>
      </x:c>
      <x:c r="D18" s="1"/>
      <x:c r="E18" s="1"/>
      <x:c r="F18" s="1"/>
      <x:c r="G18" s="1"/>
      <x:c r="H18" s="1"/>
      <x:c r="I18" s="1"/>
      <x:c r="J18" s="1"/>
      <x:c r="K18" s="1"/>
    </x:row>
    <x:row r="19" ht="24" customHeight="1">
      <x:c r="A19" s="94" t="n">
        <x:v>50</x:v>
      </x:c>
      <x:c r="B19" s="86" t="n">
        <x:v>11</x:v>
      </x:c>
      <x:c r="C19" s="96" t="str">
        <x:v>50 ou mais</x:v>
      </x:c>
      <x:c r="D19" s="1"/>
      <x:c r="E19" s="1"/>
      <x:c r="F19" s="1"/>
      <x:c r="G19" s="1"/>
      <x:c r="H19" s="1"/>
      <x:c r="I19" s="1"/>
      <x:c r="J19" s="1"/>
      <x:c r="K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>
      <x:c r="A21" s="37" t="str">
        <x:v>Observações</x:v>
      </x:c>
      <x:c r="B21" s="34"/>
      <x:c r="C21" s="34"/>
      <x:c r="D21" s="34"/>
      <x:c r="E21" s="34"/>
      <x:c r="F21" s="34"/>
      <x:c r="G21" s="34"/>
      <x:c r="H21" s="34"/>
      <x:c r="I21" s="34"/>
      <x:c r="J21" s="34"/>
      <x:c r="K21" s="34"/>
    </x:row>
    <x:row r="22">
      <x:c r="A22" s="34" t="str">
        <x:v>A tabela de impressão é aplicada separadamente às faces P&amp;B e coloridas, sempre depois da perda de produção.</x:v>
      </x:c>
      <x:c r="B22" s="34"/>
      <x:c r="C22" s="34"/>
      <x:c r="D22" s="34"/>
      <x:c r="E22" s="34"/>
      <x:c r="F22" s="34"/>
      <x:c r="G22" s="34"/>
      <x:c r="H22" s="34"/>
      <x:c r="I22" s="34"/>
      <x:c r="J22" s="34"/>
      <x:c r="K22" s="34"/>
    </x:row>
    <x:row r="23">
      <x:c r="A23" s="34" t="str">
        <x:v>A modalidade Somente Hot Melt desconsidera miolo, capa, laminação e prova física. Vinco e refiles estão incluídos no Hot Melt.</x:v>
      </x:c>
      <x:c r="B23" s="34"/>
      <x:c r="C23" s="34"/>
      <x:c r="D23" s="34"/>
      <x:c r="E23" s="34"/>
      <x:c r="F23" s="34"/>
      <x:c r="G23" s="34"/>
      <x:c r="H23" s="34"/>
      <x:c r="I23" s="34"/>
      <x:c r="J23" s="34"/>
      <x:c r="K23" s="34"/>
    </x:row>
  </x:sheetData>
  <x:pageMargins left="0.7" right="0.7" top="0.75" bottom="0.75" header="0.3" footer="0.3"/>
</x:worksheet>
</file>